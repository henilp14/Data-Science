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<sst xmlns="http://schemas.openxmlformats.org/spreadsheetml/2006/main" count="18" uniqueCount="18">
  <si>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Index</t>
  </si>
  <si>
    <t xml:space="preserve">Uniform Distribution </t>
  </si>
  <si>
    <t>Exponential Distribution</t>
  </si>
  <si>
    <t>Normal Distribution</t>
  </si>
  <si>
    <t>Poisson Distribution</t>
  </si>
  <si>
    <t>Binomial Distribution</t>
  </si>
  <si>
    <t>Bernoulli Distribution</t>
  </si>
  <si>
    <t>Geometry Distribution</t>
  </si>
  <si>
    <t>AVG</t>
  </si>
  <si>
    <t>Customer Arrivals at a Bank</t>
  </si>
  <si>
    <t>Let's say you're a data analyst at a bank, and you need to model and analyze customer arrivals using different probability distributions. We can simulate and analyze the following based on different distributions:</t>
  </si>
  <si>
    <t>Uniform Distribution: The arrival time between two customers is uniformly distributed between 0 and 25 minutes.</t>
  </si>
  <si>
    <t>Exponential Distribution: The time between arrivals follows an exponential distribution with an average rate of 5 customers per hour (λ=5).</t>
  </si>
  <si>
    <t>Normal Distribution: The number of customers arriving per hour is normally distributed with a mean of 15 customers and a standard deviation of 3 customers.</t>
  </si>
  <si>
    <t>Poisson Distribution: You expect, on average, 5 customers to arrive per hour, and you want to know the probability of exactly 7 customers arriving in an hour.</t>
  </si>
  <si>
    <t>Binomial Distribution: In a 10-minute window, 8 out of 10 customers make a purchase, and you want to calculate the probability of exactly 5 customers making a purchase.</t>
  </si>
  <si>
    <t>Bernoulli Distribution: In a customer satisfaction survey, each customer has a 0.8 probability of giving a positive review. You want to know the probability of getting a positive review from one customer.</t>
  </si>
  <si>
    <t>Geometric Distribution: You want to find the number of customers that need to be asked before you find one who makes a purchase. The probability of success (purchase) on each trial is 0.5.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</si>
</sst>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22.75"/>
    <col customWidth="1" min="4" max="4" width="25.63"/>
    <col customWidth="1" min="5" max="5" width="24.63"/>
    <col customWidth="1" min="6" max="6" width="20.38"/>
    <col customWidth="1" min="7" max="7" width="19.25"/>
    <col customWidth="1" min="8" max="8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>
        <f t="shared" ref="B2:B101" si="1">0+(25-0)*RAND()</f>
        <v>2.656694822</v>
      </c>
      <c r="C2" s="2">
        <f t="shared" ref="C2:C101" si="2">-1/5 * LN(1 - RAND())</f>
        <v>0.2533451125</v>
      </c>
      <c r="D2" s="2">
        <f t="shared" ref="D2:D101" si="3">NORMINV(RAND(), 15, 3)</f>
        <v>10.98603123</v>
      </c>
      <c r="E2" s="2">
        <f>_xlfn.POISSON.DIST(7, 5, FALSE)</f>
        <v>0.104444863</v>
      </c>
      <c r="F2" s="2">
        <f>_xlfn.BINOM.DIST(5, 10, 0.8, FALSE)</f>
        <v>0.0264241152</v>
      </c>
      <c r="G2" s="2">
        <f t="shared" ref="G2:G101" si="4">IF(RAND() &lt;= 0.8, 1, 0)</f>
        <v>1</v>
      </c>
      <c r="H2" s="2">
        <f t="shared" ref="H2:H99" si="5">CEILING(-LN(1 - RAND()) / LN(1 - 0.5), 1)</f>
        <v>0</v>
      </c>
    </row>
    <row r="3">
      <c r="A3" s="1">
        <v>2.0</v>
      </c>
      <c r="B3" s="2">
        <f t="shared" si="1"/>
        <v>13.4023638</v>
      </c>
      <c r="C3" s="2">
        <f t="shared" si="2"/>
        <v>0.1277775544</v>
      </c>
      <c r="D3" s="2">
        <f t="shared" si="3"/>
        <v>14.31566067</v>
      </c>
      <c r="G3" s="2">
        <f t="shared" si="4"/>
        <v>0</v>
      </c>
      <c r="H3" s="2">
        <f t="shared" si="5"/>
        <v>-2</v>
      </c>
    </row>
    <row r="4">
      <c r="A4" s="1">
        <v>3.0</v>
      </c>
      <c r="B4" s="2">
        <f t="shared" si="1"/>
        <v>13.50620286</v>
      </c>
      <c r="C4" s="2">
        <f t="shared" si="2"/>
        <v>0.1463298322</v>
      </c>
      <c r="D4" s="2">
        <f t="shared" si="3"/>
        <v>16.15230566</v>
      </c>
      <c r="G4" s="2">
        <f t="shared" si="4"/>
        <v>1</v>
      </c>
      <c r="H4" s="2">
        <f t="shared" si="5"/>
        <v>0</v>
      </c>
    </row>
    <row r="5">
      <c r="A5" s="1">
        <v>4.0</v>
      </c>
      <c r="B5" s="2">
        <f t="shared" si="1"/>
        <v>11.1839624</v>
      </c>
      <c r="C5" s="2">
        <f t="shared" si="2"/>
        <v>0.4050360234</v>
      </c>
      <c r="D5" s="2">
        <f t="shared" si="3"/>
        <v>16.1045197</v>
      </c>
      <c r="G5" s="2">
        <f t="shared" si="4"/>
        <v>1</v>
      </c>
      <c r="H5" s="2">
        <f t="shared" si="5"/>
        <v>-1</v>
      </c>
    </row>
    <row r="6">
      <c r="A6" s="1">
        <v>5.0</v>
      </c>
      <c r="B6" s="2">
        <f t="shared" si="1"/>
        <v>5.395013505</v>
      </c>
      <c r="C6" s="2">
        <f t="shared" si="2"/>
        <v>0.138673547</v>
      </c>
      <c r="D6" s="2">
        <f t="shared" si="3"/>
        <v>14.41762711</v>
      </c>
      <c r="G6" s="2">
        <f t="shared" si="4"/>
        <v>1</v>
      </c>
      <c r="H6" s="2">
        <f t="shared" si="5"/>
        <v>-1</v>
      </c>
    </row>
    <row r="7">
      <c r="A7" s="1">
        <v>6.0</v>
      </c>
      <c r="B7" s="2">
        <f t="shared" si="1"/>
        <v>16.36309786</v>
      </c>
      <c r="C7" s="2">
        <f t="shared" si="2"/>
        <v>0.006939861547</v>
      </c>
      <c r="D7" s="2">
        <f t="shared" si="3"/>
        <v>15.91789666</v>
      </c>
      <c r="G7" s="2">
        <f t="shared" si="4"/>
        <v>0</v>
      </c>
      <c r="H7" s="2">
        <f t="shared" si="5"/>
        <v>0</v>
      </c>
    </row>
    <row r="8">
      <c r="A8" s="1">
        <v>7.0</v>
      </c>
      <c r="B8" s="2">
        <f t="shared" si="1"/>
        <v>15.61950504</v>
      </c>
      <c r="C8" s="2">
        <f t="shared" si="2"/>
        <v>0.0848029539</v>
      </c>
      <c r="D8" s="2">
        <f t="shared" si="3"/>
        <v>16.61050383</v>
      </c>
      <c r="G8" s="2">
        <f t="shared" si="4"/>
        <v>1</v>
      </c>
      <c r="H8" s="2">
        <f t="shared" si="5"/>
        <v>0</v>
      </c>
    </row>
    <row r="9">
      <c r="A9" s="1">
        <v>8.0</v>
      </c>
      <c r="B9" s="2">
        <f t="shared" si="1"/>
        <v>4.354269962</v>
      </c>
      <c r="C9" s="2">
        <f t="shared" si="2"/>
        <v>0.1937581338</v>
      </c>
      <c r="D9" s="2">
        <f t="shared" si="3"/>
        <v>11.79711708</v>
      </c>
      <c r="G9" s="2">
        <f t="shared" si="4"/>
        <v>1</v>
      </c>
      <c r="H9" s="2">
        <f t="shared" si="5"/>
        <v>-5</v>
      </c>
    </row>
    <row r="10">
      <c r="A10" s="1">
        <v>9.0</v>
      </c>
      <c r="B10" s="2">
        <f t="shared" si="1"/>
        <v>9.81877127</v>
      </c>
      <c r="C10" s="2">
        <f t="shared" si="2"/>
        <v>0.3334733733</v>
      </c>
      <c r="D10" s="2">
        <f t="shared" si="3"/>
        <v>16.69229839</v>
      </c>
      <c r="G10" s="2">
        <f t="shared" si="4"/>
        <v>1</v>
      </c>
      <c r="H10" s="2">
        <f t="shared" si="5"/>
        <v>-1</v>
      </c>
    </row>
    <row r="11">
      <c r="A11" s="1">
        <v>10.0</v>
      </c>
      <c r="B11" s="2">
        <f t="shared" si="1"/>
        <v>11.89890977</v>
      </c>
      <c r="C11" s="2">
        <f t="shared" si="2"/>
        <v>0.06845706731</v>
      </c>
      <c r="D11" s="2">
        <f t="shared" si="3"/>
        <v>13.00763566</v>
      </c>
      <c r="G11" s="2">
        <f t="shared" si="4"/>
        <v>1</v>
      </c>
      <c r="H11" s="2">
        <f t="shared" si="5"/>
        <v>0</v>
      </c>
    </row>
    <row r="12">
      <c r="A12" s="1">
        <v>11.0</v>
      </c>
      <c r="B12" s="2">
        <f t="shared" si="1"/>
        <v>2.048043809</v>
      </c>
      <c r="C12" s="2">
        <f t="shared" si="2"/>
        <v>0.0787350923</v>
      </c>
      <c r="D12" s="2">
        <f t="shared" si="3"/>
        <v>15.55249029</v>
      </c>
      <c r="G12" s="2">
        <f t="shared" si="4"/>
        <v>1</v>
      </c>
      <c r="H12" s="2">
        <f t="shared" si="5"/>
        <v>0</v>
      </c>
    </row>
    <row r="13">
      <c r="A13" s="1">
        <v>12.0</v>
      </c>
      <c r="B13" s="2">
        <f t="shared" si="1"/>
        <v>15.68821925</v>
      </c>
      <c r="C13" s="2">
        <f t="shared" si="2"/>
        <v>0.112385298</v>
      </c>
      <c r="D13" s="2">
        <f t="shared" si="3"/>
        <v>16.33171311</v>
      </c>
      <c r="G13" s="2">
        <f t="shared" si="4"/>
        <v>1</v>
      </c>
      <c r="H13" s="2">
        <f t="shared" si="5"/>
        <v>-1</v>
      </c>
    </row>
    <row r="14">
      <c r="A14" s="1">
        <v>13.0</v>
      </c>
      <c r="B14" s="2">
        <f t="shared" si="1"/>
        <v>20.33616896</v>
      </c>
      <c r="C14" s="2">
        <f t="shared" si="2"/>
        <v>0.01743069767</v>
      </c>
      <c r="D14" s="2">
        <f t="shared" si="3"/>
        <v>13.9501109</v>
      </c>
      <c r="G14" s="2">
        <f t="shared" si="4"/>
        <v>1</v>
      </c>
      <c r="H14" s="2">
        <f t="shared" si="5"/>
        <v>0</v>
      </c>
    </row>
    <row r="15">
      <c r="A15" s="1">
        <v>14.0</v>
      </c>
      <c r="B15" s="2">
        <f t="shared" si="1"/>
        <v>15.85078119</v>
      </c>
      <c r="C15" s="2">
        <f t="shared" si="2"/>
        <v>0.2018347584</v>
      </c>
      <c r="D15" s="2">
        <f t="shared" si="3"/>
        <v>9.88047722</v>
      </c>
      <c r="G15" s="2">
        <f t="shared" si="4"/>
        <v>1</v>
      </c>
      <c r="H15" s="2">
        <f t="shared" si="5"/>
        <v>-1</v>
      </c>
    </row>
    <row r="16">
      <c r="A16" s="1">
        <v>15.0</v>
      </c>
      <c r="B16" s="2">
        <f t="shared" si="1"/>
        <v>20.45829034</v>
      </c>
      <c r="C16" s="2">
        <f t="shared" si="2"/>
        <v>0.07712795273</v>
      </c>
      <c r="D16" s="2">
        <f t="shared" si="3"/>
        <v>19.33250035</v>
      </c>
      <c r="G16" s="2">
        <f t="shared" si="4"/>
        <v>1</v>
      </c>
      <c r="H16" s="2">
        <f t="shared" si="5"/>
        <v>-3</v>
      </c>
    </row>
    <row r="17">
      <c r="A17" s="1">
        <v>16.0</v>
      </c>
      <c r="B17" s="2">
        <f t="shared" si="1"/>
        <v>15.28896359</v>
      </c>
      <c r="C17" s="2">
        <f t="shared" si="2"/>
        <v>0.06785253123</v>
      </c>
      <c r="D17" s="2">
        <f t="shared" si="3"/>
        <v>13.60926527</v>
      </c>
      <c r="G17" s="2">
        <f t="shared" si="4"/>
        <v>1</v>
      </c>
      <c r="H17" s="2">
        <f t="shared" si="5"/>
        <v>0</v>
      </c>
    </row>
    <row r="18">
      <c r="A18" s="1">
        <v>17.0</v>
      </c>
      <c r="B18" s="2">
        <f t="shared" si="1"/>
        <v>7.828114282</v>
      </c>
      <c r="C18" s="2">
        <f t="shared" si="2"/>
        <v>0.05699889019</v>
      </c>
      <c r="D18" s="2">
        <f t="shared" si="3"/>
        <v>17.99734033</v>
      </c>
      <c r="G18" s="2">
        <f t="shared" si="4"/>
        <v>1</v>
      </c>
      <c r="H18" s="2">
        <f t="shared" si="5"/>
        <v>-7</v>
      </c>
    </row>
    <row r="19">
      <c r="A19" s="1">
        <v>18.0</v>
      </c>
      <c r="B19" s="2">
        <f t="shared" si="1"/>
        <v>2.564988431</v>
      </c>
      <c r="C19" s="2">
        <f t="shared" si="2"/>
        <v>0.02104542485</v>
      </c>
      <c r="D19" s="2">
        <f t="shared" si="3"/>
        <v>13.86283701</v>
      </c>
      <c r="G19" s="2">
        <f t="shared" si="4"/>
        <v>1</v>
      </c>
      <c r="H19" s="2">
        <f t="shared" si="5"/>
        <v>0</v>
      </c>
    </row>
    <row r="20">
      <c r="A20" s="1">
        <v>19.0</v>
      </c>
      <c r="B20" s="2">
        <f t="shared" si="1"/>
        <v>2.850658641</v>
      </c>
      <c r="C20" s="2">
        <f t="shared" si="2"/>
        <v>0.7348730248</v>
      </c>
      <c r="D20" s="2">
        <f t="shared" si="3"/>
        <v>11.77173328</v>
      </c>
      <c r="G20" s="2">
        <f t="shared" si="4"/>
        <v>1</v>
      </c>
      <c r="H20" s="2">
        <f t="shared" si="5"/>
        <v>-1</v>
      </c>
    </row>
    <row r="21">
      <c r="A21" s="1">
        <v>20.0</v>
      </c>
      <c r="B21" s="2">
        <f t="shared" si="1"/>
        <v>9.301347006</v>
      </c>
      <c r="C21" s="2">
        <f t="shared" si="2"/>
        <v>0.206939708</v>
      </c>
      <c r="D21" s="2">
        <f t="shared" si="3"/>
        <v>14.59803106</v>
      </c>
      <c r="G21" s="2">
        <f t="shared" si="4"/>
        <v>1</v>
      </c>
      <c r="H21" s="2">
        <f t="shared" si="5"/>
        <v>-1</v>
      </c>
    </row>
    <row r="22">
      <c r="A22" s="1">
        <v>21.0</v>
      </c>
      <c r="B22" s="2">
        <f t="shared" si="1"/>
        <v>8.097388908</v>
      </c>
      <c r="C22" s="2">
        <f t="shared" si="2"/>
        <v>0.2707508574</v>
      </c>
      <c r="D22" s="2">
        <f t="shared" si="3"/>
        <v>9.436196827</v>
      </c>
      <c r="G22" s="2">
        <f t="shared" si="4"/>
        <v>1</v>
      </c>
      <c r="H22" s="2">
        <f t="shared" si="5"/>
        <v>0</v>
      </c>
    </row>
    <row r="23">
      <c r="A23" s="1">
        <v>22.0</v>
      </c>
      <c r="B23" s="2">
        <f t="shared" si="1"/>
        <v>14.10632372</v>
      </c>
      <c r="C23" s="2">
        <f t="shared" si="2"/>
        <v>0.1587700815</v>
      </c>
      <c r="D23" s="2">
        <f t="shared" si="3"/>
        <v>14.5438581</v>
      </c>
      <c r="G23" s="2">
        <f t="shared" si="4"/>
        <v>1</v>
      </c>
      <c r="H23" s="2">
        <f t="shared" si="5"/>
        <v>0</v>
      </c>
    </row>
    <row r="24">
      <c r="A24" s="1">
        <v>23.0</v>
      </c>
      <c r="B24" s="2">
        <f t="shared" si="1"/>
        <v>23.48315134</v>
      </c>
      <c r="C24" s="2">
        <f t="shared" si="2"/>
        <v>0.0754678806</v>
      </c>
      <c r="D24" s="2">
        <f t="shared" si="3"/>
        <v>21.21986053</v>
      </c>
      <c r="G24" s="2">
        <f t="shared" si="4"/>
        <v>1</v>
      </c>
      <c r="H24" s="2">
        <f t="shared" si="5"/>
        <v>-2</v>
      </c>
    </row>
    <row r="25">
      <c r="A25" s="1">
        <v>24.0</v>
      </c>
      <c r="B25" s="2">
        <f t="shared" si="1"/>
        <v>23.61473097</v>
      </c>
      <c r="C25" s="2">
        <f t="shared" si="2"/>
        <v>0.3288235054</v>
      </c>
      <c r="D25" s="2">
        <f t="shared" si="3"/>
        <v>8.602104659</v>
      </c>
      <c r="G25" s="2">
        <f t="shared" si="4"/>
        <v>1</v>
      </c>
      <c r="H25" s="2">
        <f t="shared" si="5"/>
        <v>-4</v>
      </c>
    </row>
    <row r="26">
      <c r="A26" s="1">
        <v>25.0</v>
      </c>
      <c r="B26" s="2">
        <f t="shared" si="1"/>
        <v>19.59075371</v>
      </c>
      <c r="C26" s="2">
        <f t="shared" si="2"/>
        <v>0.2692762092</v>
      </c>
      <c r="D26" s="2">
        <f t="shared" si="3"/>
        <v>14.53418625</v>
      </c>
      <c r="G26" s="2">
        <f t="shared" si="4"/>
        <v>1</v>
      </c>
      <c r="H26" s="2">
        <f t="shared" si="5"/>
        <v>0</v>
      </c>
    </row>
    <row r="27">
      <c r="A27" s="1">
        <v>26.0</v>
      </c>
      <c r="B27" s="2">
        <f t="shared" si="1"/>
        <v>6.863194416</v>
      </c>
      <c r="C27" s="2">
        <f t="shared" si="2"/>
        <v>0.004951440862</v>
      </c>
      <c r="D27" s="2">
        <f t="shared" si="3"/>
        <v>15.05463439</v>
      </c>
      <c r="G27" s="2">
        <f t="shared" si="4"/>
        <v>0</v>
      </c>
      <c r="H27" s="2">
        <f t="shared" si="5"/>
        <v>0</v>
      </c>
    </row>
    <row r="28">
      <c r="A28" s="1">
        <v>27.0</v>
      </c>
      <c r="B28" s="2">
        <f t="shared" si="1"/>
        <v>6.147674878</v>
      </c>
      <c r="C28" s="2">
        <f t="shared" si="2"/>
        <v>0.004534862504</v>
      </c>
      <c r="D28" s="2">
        <f t="shared" si="3"/>
        <v>17.51063886</v>
      </c>
      <c r="G28" s="2">
        <f t="shared" si="4"/>
        <v>1</v>
      </c>
      <c r="H28" s="2">
        <f t="shared" si="5"/>
        <v>-3</v>
      </c>
    </row>
    <row r="29">
      <c r="A29" s="1">
        <v>28.0</v>
      </c>
      <c r="B29" s="2">
        <f t="shared" si="1"/>
        <v>12.43061194</v>
      </c>
      <c r="C29" s="2">
        <f t="shared" si="2"/>
        <v>0.380283308</v>
      </c>
      <c r="D29" s="2">
        <f t="shared" si="3"/>
        <v>14.0968834</v>
      </c>
      <c r="G29" s="2">
        <f t="shared" si="4"/>
        <v>1</v>
      </c>
      <c r="H29" s="2">
        <f t="shared" si="5"/>
        <v>0</v>
      </c>
    </row>
    <row r="30">
      <c r="A30" s="1">
        <v>29.0</v>
      </c>
      <c r="B30" s="2">
        <f t="shared" si="1"/>
        <v>15.79393511</v>
      </c>
      <c r="C30" s="2">
        <f t="shared" si="2"/>
        <v>0.06305566786</v>
      </c>
      <c r="D30" s="2">
        <f t="shared" si="3"/>
        <v>16.75924726</v>
      </c>
      <c r="G30" s="2">
        <f t="shared" si="4"/>
        <v>1</v>
      </c>
      <c r="H30" s="2">
        <f t="shared" si="5"/>
        <v>0</v>
      </c>
    </row>
    <row r="31">
      <c r="A31" s="1">
        <v>30.0</v>
      </c>
      <c r="B31" s="2">
        <f t="shared" si="1"/>
        <v>1.365674417</v>
      </c>
      <c r="C31" s="2">
        <f t="shared" si="2"/>
        <v>0.1718711689</v>
      </c>
      <c r="D31" s="2">
        <f t="shared" si="3"/>
        <v>15.55084478</v>
      </c>
      <c r="G31" s="2">
        <f t="shared" si="4"/>
        <v>1</v>
      </c>
      <c r="H31" s="2">
        <f t="shared" si="5"/>
        <v>-1</v>
      </c>
    </row>
    <row r="32">
      <c r="A32" s="1">
        <v>31.0</v>
      </c>
      <c r="B32" s="2">
        <f t="shared" si="1"/>
        <v>18.9650696</v>
      </c>
      <c r="C32" s="2">
        <f t="shared" si="2"/>
        <v>0.08928570745</v>
      </c>
      <c r="D32" s="2">
        <f t="shared" si="3"/>
        <v>19.91056828</v>
      </c>
      <c r="G32" s="2">
        <f t="shared" si="4"/>
        <v>1</v>
      </c>
      <c r="H32" s="2">
        <f t="shared" si="5"/>
        <v>-7</v>
      </c>
    </row>
    <row r="33">
      <c r="A33" s="1">
        <v>32.0</v>
      </c>
      <c r="B33" s="2">
        <f t="shared" si="1"/>
        <v>4.208008722</v>
      </c>
      <c r="C33" s="2">
        <f t="shared" si="2"/>
        <v>0.06508312461</v>
      </c>
      <c r="D33" s="2">
        <f t="shared" si="3"/>
        <v>19.30068267</v>
      </c>
      <c r="G33" s="2">
        <f t="shared" si="4"/>
        <v>0</v>
      </c>
      <c r="H33" s="2">
        <f t="shared" si="5"/>
        <v>0</v>
      </c>
    </row>
    <row r="34">
      <c r="A34" s="1">
        <v>33.0</v>
      </c>
      <c r="B34" s="2">
        <f t="shared" si="1"/>
        <v>19.36445237</v>
      </c>
      <c r="C34" s="2">
        <f t="shared" si="2"/>
        <v>0.03626980067</v>
      </c>
      <c r="D34" s="2">
        <f t="shared" si="3"/>
        <v>14.07668526</v>
      </c>
      <c r="G34" s="2">
        <f t="shared" si="4"/>
        <v>0</v>
      </c>
      <c r="H34" s="2">
        <f t="shared" si="5"/>
        <v>-1</v>
      </c>
    </row>
    <row r="35">
      <c r="A35" s="1">
        <v>34.0</v>
      </c>
      <c r="B35" s="2">
        <f t="shared" si="1"/>
        <v>13.4666867</v>
      </c>
      <c r="C35" s="2">
        <f t="shared" si="2"/>
        <v>0.2185326994</v>
      </c>
      <c r="D35" s="2">
        <f t="shared" si="3"/>
        <v>13.5057525</v>
      </c>
      <c r="G35" s="2">
        <f t="shared" si="4"/>
        <v>1</v>
      </c>
      <c r="H35" s="2">
        <f t="shared" si="5"/>
        <v>0</v>
      </c>
    </row>
    <row r="36">
      <c r="A36" s="1">
        <v>35.0</v>
      </c>
      <c r="B36" s="2">
        <f t="shared" si="1"/>
        <v>1.920569213</v>
      </c>
      <c r="C36" s="2">
        <f t="shared" si="2"/>
        <v>0.13733846</v>
      </c>
      <c r="D36" s="2">
        <f t="shared" si="3"/>
        <v>14.3722713</v>
      </c>
      <c r="G36" s="2">
        <f t="shared" si="4"/>
        <v>1</v>
      </c>
      <c r="H36" s="2">
        <f t="shared" si="5"/>
        <v>0</v>
      </c>
    </row>
    <row r="37">
      <c r="A37" s="1">
        <v>36.0</v>
      </c>
      <c r="B37" s="2">
        <f t="shared" si="1"/>
        <v>0.8443013856</v>
      </c>
      <c r="C37" s="2">
        <f t="shared" si="2"/>
        <v>0.1572637928</v>
      </c>
      <c r="D37" s="2">
        <f t="shared" si="3"/>
        <v>17.08776562</v>
      </c>
      <c r="G37" s="2">
        <f t="shared" si="4"/>
        <v>1</v>
      </c>
      <c r="H37" s="2">
        <f t="shared" si="5"/>
        <v>0</v>
      </c>
    </row>
    <row r="38">
      <c r="A38" s="1">
        <v>37.0</v>
      </c>
      <c r="B38" s="2">
        <f t="shared" si="1"/>
        <v>23.76355984</v>
      </c>
      <c r="C38" s="2">
        <f t="shared" si="2"/>
        <v>0.09658054259</v>
      </c>
      <c r="D38" s="2">
        <f t="shared" si="3"/>
        <v>21.7004442</v>
      </c>
      <c r="G38" s="2">
        <f t="shared" si="4"/>
        <v>1</v>
      </c>
      <c r="H38" s="2">
        <f t="shared" si="5"/>
        <v>-2</v>
      </c>
    </row>
    <row r="39">
      <c r="A39" s="1">
        <v>38.0</v>
      </c>
      <c r="B39" s="2">
        <f t="shared" si="1"/>
        <v>20.64683956</v>
      </c>
      <c r="C39" s="2">
        <f t="shared" si="2"/>
        <v>0.1736232541</v>
      </c>
      <c r="D39" s="2">
        <f t="shared" si="3"/>
        <v>15.47756165</v>
      </c>
      <c r="G39" s="2">
        <f t="shared" si="4"/>
        <v>1</v>
      </c>
      <c r="H39" s="2">
        <f t="shared" si="5"/>
        <v>-3</v>
      </c>
    </row>
    <row r="40">
      <c r="A40" s="1">
        <v>39.0</v>
      </c>
      <c r="B40" s="2">
        <f t="shared" si="1"/>
        <v>23.9483044</v>
      </c>
      <c r="C40" s="2">
        <f t="shared" si="2"/>
        <v>0.1921476346</v>
      </c>
      <c r="D40" s="2">
        <f t="shared" si="3"/>
        <v>17.54157318</v>
      </c>
      <c r="G40" s="2">
        <f t="shared" si="4"/>
        <v>1</v>
      </c>
      <c r="H40" s="2">
        <f t="shared" si="5"/>
        <v>-1</v>
      </c>
    </row>
    <row r="41">
      <c r="A41" s="1">
        <v>40.0</v>
      </c>
      <c r="B41" s="2">
        <f t="shared" si="1"/>
        <v>0.07520688082</v>
      </c>
      <c r="C41" s="2">
        <f t="shared" si="2"/>
        <v>0.1586291348</v>
      </c>
      <c r="D41" s="2">
        <f t="shared" si="3"/>
        <v>14.00173096</v>
      </c>
      <c r="G41" s="2">
        <f t="shared" si="4"/>
        <v>1</v>
      </c>
      <c r="H41" s="2">
        <f t="shared" si="5"/>
        <v>0</v>
      </c>
    </row>
    <row r="42">
      <c r="A42" s="1">
        <v>41.0</v>
      </c>
      <c r="B42" s="2">
        <f t="shared" si="1"/>
        <v>18.87609245</v>
      </c>
      <c r="C42" s="2">
        <f t="shared" si="2"/>
        <v>0.01802652093</v>
      </c>
      <c r="D42" s="2">
        <f t="shared" si="3"/>
        <v>13.44787997</v>
      </c>
      <c r="G42" s="2">
        <f t="shared" si="4"/>
        <v>1</v>
      </c>
      <c r="H42" s="2">
        <f t="shared" si="5"/>
        <v>0</v>
      </c>
    </row>
    <row r="43">
      <c r="A43" s="1">
        <v>42.0</v>
      </c>
      <c r="B43" s="2">
        <f t="shared" si="1"/>
        <v>6.095058063</v>
      </c>
      <c r="C43" s="2">
        <f t="shared" si="2"/>
        <v>0.02639513277</v>
      </c>
      <c r="D43" s="2">
        <f t="shared" si="3"/>
        <v>14.13236021</v>
      </c>
      <c r="G43" s="2">
        <f t="shared" si="4"/>
        <v>1</v>
      </c>
      <c r="H43" s="2">
        <f t="shared" si="5"/>
        <v>0</v>
      </c>
    </row>
    <row r="44">
      <c r="A44" s="1">
        <v>43.0</v>
      </c>
      <c r="B44" s="2">
        <f t="shared" si="1"/>
        <v>12.49165398</v>
      </c>
      <c r="C44" s="2">
        <f t="shared" si="2"/>
        <v>0.1587700184</v>
      </c>
      <c r="D44" s="2">
        <f t="shared" si="3"/>
        <v>16.61075125</v>
      </c>
      <c r="G44" s="2">
        <f t="shared" si="4"/>
        <v>1</v>
      </c>
      <c r="H44" s="2">
        <f t="shared" si="5"/>
        <v>0</v>
      </c>
    </row>
    <row r="45">
      <c r="A45" s="1">
        <v>44.0</v>
      </c>
      <c r="B45" s="2">
        <f t="shared" si="1"/>
        <v>15.98478577</v>
      </c>
      <c r="C45" s="2">
        <f t="shared" si="2"/>
        <v>0.026890138</v>
      </c>
      <c r="D45" s="2">
        <f t="shared" si="3"/>
        <v>18.46697751</v>
      </c>
      <c r="G45" s="2">
        <f t="shared" si="4"/>
        <v>1</v>
      </c>
      <c r="H45" s="2">
        <f t="shared" si="5"/>
        <v>-1</v>
      </c>
    </row>
    <row r="46">
      <c r="A46" s="1">
        <v>45.0</v>
      </c>
      <c r="B46" s="2">
        <f t="shared" si="1"/>
        <v>4.865809445</v>
      </c>
      <c r="C46" s="2">
        <f t="shared" si="2"/>
        <v>0.005596631176</v>
      </c>
      <c r="D46" s="2">
        <f t="shared" si="3"/>
        <v>16.7168449</v>
      </c>
      <c r="G46" s="2">
        <f t="shared" si="4"/>
        <v>1</v>
      </c>
      <c r="H46" s="2">
        <f t="shared" si="5"/>
        <v>-1</v>
      </c>
    </row>
    <row r="47">
      <c r="A47" s="1">
        <v>46.0</v>
      </c>
      <c r="B47" s="2">
        <f t="shared" si="1"/>
        <v>0.3899793412</v>
      </c>
      <c r="C47" s="2">
        <f t="shared" si="2"/>
        <v>0.03586822036</v>
      </c>
      <c r="D47" s="2">
        <f t="shared" si="3"/>
        <v>10.30339479</v>
      </c>
      <c r="G47" s="2">
        <f t="shared" si="4"/>
        <v>0</v>
      </c>
      <c r="H47" s="2">
        <f t="shared" si="5"/>
        <v>-4</v>
      </c>
    </row>
    <row r="48">
      <c r="A48" s="1">
        <v>47.0</v>
      </c>
      <c r="B48" s="2">
        <f t="shared" si="1"/>
        <v>14.11562813</v>
      </c>
      <c r="C48" s="2">
        <f t="shared" si="2"/>
        <v>0.3194525969</v>
      </c>
      <c r="D48" s="2">
        <f t="shared" si="3"/>
        <v>13.05538555</v>
      </c>
      <c r="G48" s="2">
        <f t="shared" si="4"/>
        <v>1</v>
      </c>
      <c r="H48" s="2">
        <f t="shared" si="5"/>
        <v>-2</v>
      </c>
    </row>
    <row r="49">
      <c r="A49" s="1">
        <v>48.0</v>
      </c>
      <c r="B49" s="2">
        <f t="shared" si="1"/>
        <v>3.204856936</v>
      </c>
      <c r="C49" s="2">
        <f t="shared" si="2"/>
        <v>0.2068973977</v>
      </c>
      <c r="D49" s="2">
        <f t="shared" si="3"/>
        <v>13.44331421</v>
      </c>
      <c r="G49" s="2">
        <f t="shared" si="4"/>
        <v>1</v>
      </c>
      <c r="H49" s="2">
        <f t="shared" si="5"/>
        <v>0</v>
      </c>
    </row>
    <row r="50">
      <c r="A50" s="1">
        <v>49.0</v>
      </c>
      <c r="B50" s="2">
        <f t="shared" si="1"/>
        <v>13.30386738</v>
      </c>
      <c r="C50" s="2">
        <f t="shared" si="2"/>
        <v>0.04043893363</v>
      </c>
      <c r="D50" s="2">
        <f t="shared" si="3"/>
        <v>22.21015667</v>
      </c>
      <c r="G50" s="2">
        <f t="shared" si="4"/>
        <v>1</v>
      </c>
      <c r="H50" s="2">
        <f t="shared" si="5"/>
        <v>-1</v>
      </c>
    </row>
    <row r="51">
      <c r="A51" s="1">
        <v>50.0</v>
      </c>
      <c r="B51" s="2">
        <f t="shared" si="1"/>
        <v>6.061204054</v>
      </c>
      <c r="C51" s="2">
        <f t="shared" si="2"/>
        <v>0.1854192691</v>
      </c>
      <c r="D51" s="2">
        <f t="shared" si="3"/>
        <v>17.24785478</v>
      </c>
      <c r="G51" s="2">
        <f t="shared" si="4"/>
        <v>1</v>
      </c>
      <c r="H51" s="2">
        <f t="shared" si="5"/>
        <v>0</v>
      </c>
    </row>
    <row r="52">
      <c r="A52" s="1">
        <v>51.0</v>
      </c>
      <c r="B52" s="2">
        <f t="shared" si="1"/>
        <v>4.92816394</v>
      </c>
      <c r="C52" s="2">
        <f t="shared" si="2"/>
        <v>0.3867619294</v>
      </c>
      <c r="D52" s="2">
        <f t="shared" si="3"/>
        <v>5.704838735</v>
      </c>
      <c r="G52" s="2">
        <f t="shared" si="4"/>
        <v>1</v>
      </c>
      <c r="H52" s="2">
        <f t="shared" si="5"/>
        <v>0</v>
      </c>
    </row>
    <row r="53">
      <c r="A53" s="1">
        <v>52.0</v>
      </c>
      <c r="B53" s="2">
        <f t="shared" si="1"/>
        <v>21.85292471</v>
      </c>
      <c r="C53" s="2">
        <f t="shared" si="2"/>
        <v>0.2958663124</v>
      </c>
      <c r="D53" s="2">
        <f t="shared" si="3"/>
        <v>12.29860587</v>
      </c>
      <c r="G53" s="2">
        <f t="shared" si="4"/>
        <v>1</v>
      </c>
      <c r="H53" s="2">
        <f t="shared" si="5"/>
        <v>-1</v>
      </c>
    </row>
    <row r="54">
      <c r="A54" s="1">
        <v>53.0</v>
      </c>
      <c r="B54" s="2">
        <f t="shared" si="1"/>
        <v>21.42933368</v>
      </c>
      <c r="C54" s="2">
        <f t="shared" si="2"/>
        <v>0.07277756891</v>
      </c>
      <c r="D54" s="2">
        <f t="shared" si="3"/>
        <v>20.0091236</v>
      </c>
      <c r="G54" s="2">
        <f t="shared" si="4"/>
        <v>1</v>
      </c>
      <c r="H54" s="2">
        <f t="shared" si="5"/>
        <v>-1</v>
      </c>
    </row>
    <row r="55">
      <c r="A55" s="1">
        <v>54.0</v>
      </c>
      <c r="B55" s="2">
        <f t="shared" si="1"/>
        <v>19.04483651</v>
      </c>
      <c r="C55" s="2">
        <f t="shared" si="2"/>
        <v>0.2404678924</v>
      </c>
      <c r="D55" s="2">
        <f t="shared" si="3"/>
        <v>13.83277598</v>
      </c>
      <c r="G55" s="2">
        <f t="shared" si="4"/>
        <v>0</v>
      </c>
      <c r="H55" s="2">
        <f t="shared" si="5"/>
        <v>-3</v>
      </c>
    </row>
    <row r="56">
      <c r="A56" s="1">
        <v>55.0</v>
      </c>
      <c r="B56" s="2">
        <f t="shared" si="1"/>
        <v>24.27911041</v>
      </c>
      <c r="C56" s="2">
        <f t="shared" si="2"/>
        <v>0.07071095262</v>
      </c>
      <c r="D56" s="2">
        <f t="shared" si="3"/>
        <v>15.35994742</v>
      </c>
      <c r="G56" s="2">
        <f t="shared" si="4"/>
        <v>0</v>
      </c>
      <c r="H56" s="2">
        <f t="shared" si="5"/>
        <v>0</v>
      </c>
    </row>
    <row r="57">
      <c r="A57" s="1">
        <v>56.0</v>
      </c>
      <c r="B57" s="2">
        <f t="shared" si="1"/>
        <v>12.5086944</v>
      </c>
      <c r="C57" s="2">
        <f t="shared" si="2"/>
        <v>0.1969385884</v>
      </c>
      <c r="D57" s="2">
        <f t="shared" si="3"/>
        <v>15.71892194</v>
      </c>
      <c r="G57" s="2">
        <f t="shared" si="4"/>
        <v>1</v>
      </c>
      <c r="H57" s="2">
        <f t="shared" si="5"/>
        <v>0</v>
      </c>
    </row>
    <row r="58">
      <c r="A58" s="1">
        <v>57.0</v>
      </c>
      <c r="B58" s="2">
        <f t="shared" si="1"/>
        <v>19.25319449</v>
      </c>
      <c r="C58" s="2">
        <f t="shared" si="2"/>
        <v>0.008151404077</v>
      </c>
      <c r="D58" s="2">
        <f t="shared" si="3"/>
        <v>17.68195537</v>
      </c>
      <c r="G58" s="2">
        <f t="shared" si="4"/>
        <v>1</v>
      </c>
      <c r="H58" s="2">
        <f t="shared" si="5"/>
        <v>-3</v>
      </c>
    </row>
    <row r="59">
      <c r="A59" s="1">
        <v>58.0</v>
      </c>
      <c r="B59" s="2">
        <f t="shared" si="1"/>
        <v>3.064345969</v>
      </c>
      <c r="C59" s="2">
        <f t="shared" si="2"/>
        <v>0.2091577481</v>
      </c>
      <c r="D59" s="2">
        <f t="shared" si="3"/>
        <v>15.73468366</v>
      </c>
      <c r="G59" s="2">
        <f t="shared" si="4"/>
        <v>1</v>
      </c>
      <c r="H59" s="2">
        <f t="shared" si="5"/>
        <v>0</v>
      </c>
    </row>
    <row r="60">
      <c r="A60" s="1">
        <v>59.0</v>
      </c>
      <c r="B60" s="2">
        <f t="shared" si="1"/>
        <v>4.448840842</v>
      </c>
      <c r="C60" s="2">
        <f t="shared" si="2"/>
        <v>0.2894826855</v>
      </c>
      <c r="D60" s="2">
        <f t="shared" si="3"/>
        <v>15.43332038</v>
      </c>
      <c r="G60" s="2">
        <f t="shared" si="4"/>
        <v>0</v>
      </c>
      <c r="H60" s="2">
        <f t="shared" si="5"/>
        <v>0</v>
      </c>
    </row>
    <row r="61">
      <c r="A61" s="1">
        <v>60.0</v>
      </c>
      <c r="B61" s="2">
        <f t="shared" si="1"/>
        <v>8.561483641</v>
      </c>
      <c r="C61" s="2">
        <f t="shared" si="2"/>
        <v>0.1704899748</v>
      </c>
      <c r="D61" s="2">
        <f t="shared" si="3"/>
        <v>15.72371006</v>
      </c>
      <c r="G61" s="2">
        <f t="shared" si="4"/>
        <v>1</v>
      </c>
      <c r="H61" s="2">
        <f t="shared" si="5"/>
        <v>-1</v>
      </c>
    </row>
    <row r="62">
      <c r="A62" s="1">
        <v>61.0</v>
      </c>
      <c r="B62" s="2">
        <f t="shared" si="1"/>
        <v>20.10111796</v>
      </c>
      <c r="C62" s="2">
        <f t="shared" si="2"/>
        <v>0.148446223</v>
      </c>
      <c r="D62" s="2">
        <f t="shared" si="3"/>
        <v>11.80066069</v>
      </c>
      <c r="G62" s="2">
        <f t="shared" si="4"/>
        <v>1</v>
      </c>
      <c r="H62" s="2">
        <f t="shared" si="5"/>
        <v>0</v>
      </c>
    </row>
    <row r="63">
      <c r="A63" s="1">
        <v>62.0</v>
      </c>
      <c r="B63" s="2">
        <f t="shared" si="1"/>
        <v>3.265644932</v>
      </c>
      <c r="C63" s="2">
        <f t="shared" si="2"/>
        <v>0.3948059069</v>
      </c>
      <c r="D63" s="2">
        <f t="shared" si="3"/>
        <v>16.84599522</v>
      </c>
      <c r="G63" s="2">
        <f t="shared" si="4"/>
        <v>1</v>
      </c>
      <c r="H63" s="2">
        <f t="shared" si="5"/>
        <v>0</v>
      </c>
    </row>
    <row r="64">
      <c r="A64" s="1">
        <v>63.0</v>
      </c>
      <c r="B64" s="2">
        <f t="shared" si="1"/>
        <v>12.81286083</v>
      </c>
      <c r="C64" s="2">
        <f t="shared" si="2"/>
        <v>0.03147237963</v>
      </c>
      <c r="D64" s="2">
        <f t="shared" si="3"/>
        <v>13.31944689</v>
      </c>
      <c r="G64" s="2">
        <f t="shared" si="4"/>
        <v>1</v>
      </c>
      <c r="H64" s="2">
        <f t="shared" si="5"/>
        <v>-1</v>
      </c>
    </row>
    <row r="65">
      <c r="A65" s="1">
        <v>64.0</v>
      </c>
      <c r="B65" s="2">
        <f t="shared" si="1"/>
        <v>22.07431765</v>
      </c>
      <c r="C65" s="2">
        <f t="shared" si="2"/>
        <v>0.0200888196</v>
      </c>
      <c r="D65" s="2">
        <f t="shared" si="3"/>
        <v>9.478353252</v>
      </c>
      <c r="G65" s="2">
        <f t="shared" si="4"/>
        <v>1</v>
      </c>
      <c r="H65" s="2">
        <f t="shared" si="5"/>
        <v>0</v>
      </c>
    </row>
    <row r="66">
      <c r="A66" s="1">
        <v>65.0</v>
      </c>
      <c r="B66" s="2">
        <f t="shared" si="1"/>
        <v>18.10523601</v>
      </c>
      <c r="C66" s="2">
        <f t="shared" si="2"/>
        <v>0.5018532913</v>
      </c>
      <c r="D66" s="2">
        <f t="shared" si="3"/>
        <v>6.530971021</v>
      </c>
      <c r="G66" s="2">
        <f t="shared" si="4"/>
        <v>1</v>
      </c>
      <c r="H66" s="2">
        <f t="shared" si="5"/>
        <v>0</v>
      </c>
    </row>
    <row r="67">
      <c r="A67" s="1">
        <v>66.0</v>
      </c>
      <c r="B67" s="2">
        <f t="shared" si="1"/>
        <v>4.014364532</v>
      </c>
      <c r="C67" s="2">
        <f t="shared" si="2"/>
        <v>0.08130359318</v>
      </c>
      <c r="D67" s="2">
        <f t="shared" si="3"/>
        <v>15.12553539</v>
      </c>
      <c r="G67" s="2">
        <f t="shared" si="4"/>
        <v>1</v>
      </c>
      <c r="H67" s="2">
        <f t="shared" si="5"/>
        <v>0</v>
      </c>
    </row>
    <row r="68">
      <c r="A68" s="1">
        <v>67.0</v>
      </c>
      <c r="B68" s="2">
        <f t="shared" si="1"/>
        <v>11.27442969</v>
      </c>
      <c r="C68" s="2">
        <f t="shared" si="2"/>
        <v>0.09448758194</v>
      </c>
      <c r="D68" s="2">
        <f t="shared" si="3"/>
        <v>16.07535573</v>
      </c>
      <c r="G68" s="2">
        <f t="shared" si="4"/>
        <v>1</v>
      </c>
      <c r="H68" s="2">
        <f t="shared" si="5"/>
        <v>-1</v>
      </c>
    </row>
    <row r="69">
      <c r="A69" s="1">
        <v>68.0</v>
      </c>
      <c r="B69" s="2">
        <f t="shared" si="1"/>
        <v>23.90520683</v>
      </c>
      <c r="C69" s="2">
        <f t="shared" si="2"/>
        <v>0.0727481251</v>
      </c>
      <c r="D69" s="2">
        <f t="shared" si="3"/>
        <v>15.33901391</v>
      </c>
      <c r="G69" s="2">
        <f t="shared" si="4"/>
        <v>1</v>
      </c>
      <c r="H69" s="2">
        <f t="shared" si="5"/>
        <v>-2</v>
      </c>
    </row>
    <row r="70">
      <c r="A70" s="1">
        <v>69.0</v>
      </c>
      <c r="B70" s="2">
        <f t="shared" si="1"/>
        <v>16.1015337</v>
      </c>
      <c r="C70" s="2">
        <f t="shared" si="2"/>
        <v>0.03912425734</v>
      </c>
      <c r="D70" s="2">
        <f t="shared" si="3"/>
        <v>16.71818437</v>
      </c>
      <c r="G70" s="2">
        <f t="shared" si="4"/>
        <v>1</v>
      </c>
      <c r="H70" s="2">
        <f t="shared" si="5"/>
        <v>-1</v>
      </c>
    </row>
    <row r="71">
      <c r="A71" s="1">
        <v>70.0</v>
      </c>
      <c r="B71" s="2">
        <f t="shared" si="1"/>
        <v>17.62367742</v>
      </c>
      <c r="C71" s="2">
        <f t="shared" si="2"/>
        <v>0.02664063445</v>
      </c>
      <c r="D71" s="2">
        <f t="shared" si="3"/>
        <v>16.57459774</v>
      </c>
      <c r="G71" s="2">
        <f t="shared" si="4"/>
        <v>1</v>
      </c>
      <c r="H71" s="2">
        <f t="shared" si="5"/>
        <v>0</v>
      </c>
    </row>
    <row r="72">
      <c r="A72" s="1">
        <v>71.0</v>
      </c>
      <c r="B72" s="2">
        <f t="shared" si="1"/>
        <v>20.59412904</v>
      </c>
      <c r="C72" s="2">
        <f t="shared" si="2"/>
        <v>0.02109787434</v>
      </c>
      <c r="D72" s="2">
        <f t="shared" si="3"/>
        <v>20.46749438</v>
      </c>
      <c r="G72" s="2">
        <f t="shared" si="4"/>
        <v>1</v>
      </c>
      <c r="H72" s="2">
        <f t="shared" si="5"/>
        <v>-2</v>
      </c>
    </row>
    <row r="73">
      <c r="A73" s="1">
        <v>72.0</v>
      </c>
      <c r="B73" s="2">
        <f t="shared" si="1"/>
        <v>24.20209804</v>
      </c>
      <c r="C73" s="2">
        <f t="shared" si="2"/>
        <v>0.4344523974</v>
      </c>
      <c r="D73" s="2">
        <f t="shared" si="3"/>
        <v>15.85780589</v>
      </c>
      <c r="G73" s="2">
        <f t="shared" si="4"/>
        <v>1</v>
      </c>
      <c r="H73" s="2">
        <f t="shared" si="5"/>
        <v>-1</v>
      </c>
    </row>
    <row r="74">
      <c r="A74" s="1">
        <v>73.0</v>
      </c>
      <c r="B74" s="2">
        <f t="shared" si="1"/>
        <v>24.36695414</v>
      </c>
      <c r="C74" s="2">
        <f t="shared" si="2"/>
        <v>0.1177502543</v>
      </c>
      <c r="D74" s="2">
        <f t="shared" si="3"/>
        <v>17.69528353</v>
      </c>
      <c r="G74" s="2">
        <f t="shared" si="4"/>
        <v>1</v>
      </c>
      <c r="H74" s="2">
        <f t="shared" si="5"/>
        <v>0</v>
      </c>
    </row>
    <row r="75">
      <c r="A75" s="1">
        <v>74.0</v>
      </c>
      <c r="B75" s="2">
        <f t="shared" si="1"/>
        <v>10.92260197</v>
      </c>
      <c r="C75" s="2">
        <f t="shared" si="2"/>
        <v>1.03849659</v>
      </c>
      <c r="D75" s="2">
        <f t="shared" si="3"/>
        <v>15.8771695</v>
      </c>
      <c r="G75" s="2">
        <f t="shared" si="4"/>
        <v>1</v>
      </c>
      <c r="H75" s="2">
        <f t="shared" si="5"/>
        <v>0</v>
      </c>
    </row>
    <row r="76">
      <c r="A76" s="1">
        <v>75.0</v>
      </c>
      <c r="B76" s="2">
        <f t="shared" si="1"/>
        <v>4.613488854</v>
      </c>
      <c r="C76" s="2">
        <f t="shared" si="2"/>
        <v>0.01224538513</v>
      </c>
      <c r="D76" s="2">
        <f t="shared" si="3"/>
        <v>10.43271349</v>
      </c>
      <c r="G76" s="2">
        <f t="shared" si="4"/>
        <v>0</v>
      </c>
      <c r="H76" s="2">
        <f t="shared" si="5"/>
        <v>0</v>
      </c>
    </row>
    <row r="77">
      <c r="A77" s="1">
        <v>76.0</v>
      </c>
      <c r="B77" s="2">
        <f t="shared" si="1"/>
        <v>20.54521689</v>
      </c>
      <c r="C77" s="2">
        <f t="shared" si="2"/>
        <v>0.1253394001</v>
      </c>
      <c r="D77" s="2">
        <f t="shared" si="3"/>
        <v>15.06538764</v>
      </c>
      <c r="G77" s="2">
        <f t="shared" si="4"/>
        <v>1</v>
      </c>
      <c r="H77" s="2">
        <f t="shared" si="5"/>
        <v>-1</v>
      </c>
    </row>
    <row r="78">
      <c r="A78" s="1">
        <v>77.0</v>
      </c>
      <c r="B78" s="2">
        <f t="shared" si="1"/>
        <v>14.63911791</v>
      </c>
      <c r="C78" s="2">
        <f t="shared" si="2"/>
        <v>0.4211486823</v>
      </c>
      <c r="D78" s="2">
        <f t="shared" si="3"/>
        <v>11.87914279</v>
      </c>
      <c r="G78" s="2">
        <f t="shared" si="4"/>
        <v>1</v>
      </c>
      <c r="H78" s="2">
        <f t="shared" si="5"/>
        <v>-1</v>
      </c>
    </row>
    <row r="79">
      <c r="A79" s="1">
        <v>78.0</v>
      </c>
      <c r="B79" s="2">
        <f t="shared" si="1"/>
        <v>9.997590143</v>
      </c>
      <c r="C79" s="2">
        <f t="shared" si="2"/>
        <v>0.4933652972</v>
      </c>
      <c r="D79" s="2">
        <f t="shared" si="3"/>
        <v>17.2525427</v>
      </c>
      <c r="G79" s="2">
        <f t="shared" si="4"/>
        <v>1</v>
      </c>
      <c r="H79" s="2">
        <f t="shared" si="5"/>
        <v>0</v>
      </c>
    </row>
    <row r="80">
      <c r="A80" s="1">
        <v>79.0</v>
      </c>
      <c r="B80" s="2">
        <f t="shared" si="1"/>
        <v>11.26917388</v>
      </c>
      <c r="C80" s="2">
        <f t="shared" si="2"/>
        <v>0.1421833782</v>
      </c>
      <c r="D80" s="2">
        <f t="shared" si="3"/>
        <v>16.91071232</v>
      </c>
      <c r="G80" s="2">
        <f t="shared" si="4"/>
        <v>1</v>
      </c>
      <c r="H80" s="2">
        <f t="shared" si="5"/>
        <v>-4</v>
      </c>
    </row>
    <row r="81">
      <c r="A81" s="1">
        <v>80.0</v>
      </c>
      <c r="B81" s="2">
        <f t="shared" si="1"/>
        <v>17.94897652</v>
      </c>
      <c r="C81" s="2">
        <f t="shared" si="2"/>
        <v>0.2254849605</v>
      </c>
      <c r="D81" s="2">
        <f t="shared" si="3"/>
        <v>9.5428934</v>
      </c>
      <c r="G81" s="2">
        <f t="shared" si="4"/>
        <v>1</v>
      </c>
      <c r="H81" s="2">
        <f t="shared" si="5"/>
        <v>0</v>
      </c>
    </row>
    <row r="82">
      <c r="A82" s="1">
        <v>81.0</v>
      </c>
      <c r="B82" s="2">
        <f t="shared" si="1"/>
        <v>4.901598647</v>
      </c>
      <c r="C82" s="2">
        <f t="shared" si="2"/>
        <v>0.0899755428</v>
      </c>
      <c r="D82" s="2">
        <f t="shared" si="3"/>
        <v>18.31832285</v>
      </c>
      <c r="G82" s="2">
        <f t="shared" si="4"/>
        <v>1</v>
      </c>
      <c r="H82" s="2">
        <f t="shared" si="5"/>
        <v>-12</v>
      </c>
    </row>
    <row r="83">
      <c r="A83" s="1">
        <v>82.0</v>
      </c>
      <c r="B83" s="2">
        <f t="shared" si="1"/>
        <v>20.1442867</v>
      </c>
      <c r="C83" s="2">
        <f t="shared" si="2"/>
        <v>0.06594931538</v>
      </c>
      <c r="D83" s="2">
        <f t="shared" si="3"/>
        <v>16.3548175</v>
      </c>
      <c r="G83" s="2">
        <f t="shared" si="4"/>
        <v>1</v>
      </c>
      <c r="H83" s="2">
        <f t="shared" si="5"/>
        <v>0</v>
      </c>
    </row>
    <row r="84">
      <c r="A84" s="1">
        <v>83.0</v>
      </c>
      <c r="B84" s="2">
        <f t="shared" si="1"/>
        <v>23.72492139</v>
      </c>
      <c r="C84" s="2">
        <f t="shared" si="2"/>
        <v>0.02377720065</v>
      </c>
      <c r="D84" s="2">
        <f t="shared" si="3"/>
        <v>5.72210694</v>
      </c>
      <c r="G84" s="2">
        <f t="shared" si="4"/>
        <v>1</v>
      </c>
      <c r="H84" s="2">
        <f t="shared" si="5"/>
        <v>0</v>
      </c>
    </row>
    <row r="85">
      <c r="A85" s="1">
        <v>84.0</v>
      </c>
      <c r="B85" s="2">
        <f t="shared" si="1"/>
        <v>12.65538318</v>
      </c>
      <c r="C85" s="2">
        <f t="shared" si="2"/>
        <v>0.1254026387</v>
      </c>
      <c r="D85" s="2">
        <f t="shared" si="3"/>
        <v>5.157756093</v>
      </c>
      <c r="G85" s="2">
        <f t="shared" si="4"/>
        <v>1</v>
      </c>
      <c r="H85" s="2">
        <f t="shared" si="5"/>
        <v>0</v>
      </c>
    </row>
    <row r="86">
      <c r="A86" s="1">
        <v>85.0</v>
      </c>
      <c r="B86" s="2">
        <f t="shared" si="1"/>
        <v>23.48898992</v>
      </c>
      <c r="C86" s="2">
        <f t="shared" si="2"/>
        <v>0.152138809</v>
      </c>
      <c r="D86" s="2">
        <f t="shared" si="3"/>
        <v>19.47717614</v>
      </c>
      <c r="G86" s="2">
        <f t="shared" si="4"/>
        <v>1</v>
      </c>
      <c r="H86" s="2">
        <f t="shared" si="5"/>
        <v>-4</v>
      </c>
    </row>
    <row r="87">
      <c r="A87" s="1">
        <v>86.0</v>
      </c>
      <c r="B87" s="2">
        <f t="shared" si="1"/>
        <v>8.051716137</v>
      </c>
      <c r="C87" s="2">
        <f t="shared" si="2"/>
        <v>0.08516969481</v>
      </c>
      <c r="D87" s="2">
        <f t="shared" si="3"/>
        <v>8.815892985</v>
      </c>
      <c r="G87" s="2">
        <f t="shared" si="4"/>
        <v>0</v>
      </c>
      <c r="H87" s="2">
        <f t="shared" si="5"/>
        <v>0</v>
      </c>
    </row>
    <row r="88">
      <c r="A88" s="1">
        <v>87.0</v>
      </c>
      <c r="B88" s="2">
        <f t="shared" si="1"/>
        <v>10.91031078</v>
      </c>
      <c r="C88" s="2">
        <f t="shared" si="2"/>
        <v>0.2909378971</v>
      </c>
      <c r="D88" s="2">
        <f t="shared" si="3"/>
        <v>15.13994771</v>
      </c>
      <c r="G88" s="2">
        <f t="shared" si="4"/>
        <v>1</v>
      </c>
      <c r="H88" s="2">
        <f t="shared" si="5"/>
        <v>0</v>
      </c>
    </row>
    <row r="89">
      <c r="A89" s="1">
        <v>88.0</v>
      </c>
      <c r="B89" s="2">
        <f t="shared" si="1"/>
        <v>20.15181962</v>
      </c>
      <c r="C89" s="2">
        <f t="shared" si="2"/>
        <v>0.1507578909</v>
      </c>
      <c r="D89" s="2">
        <f t="shared" si="3"/>
        <v>15.14142344</v>
      </c>
      <c r="G89" s="2">
        <f t="shared" si="4"/>
        <v>1</v>
      </c>
      <c r="H89" s="2">
        <f t="shared" si="5"/>
        <v>0</v>
      </c>
    </row>
    <row r="90">
      <c r="A90" s="1">
        <v>89.0</v>
      </c>
      <c r="B90" s="2">
        <f t="shared" si="1"/>
        <v>6.168525315</v>
      </c>
      <c r="C90" s="2">
        <f t="shared" si="2"/>
        <v>0.2889640279</v>
      </c>
      <c r="D90" s="2">
        <f t="shared" si="3"/>
        <v>11.78307107</v>
      </c>
      <c r="G90" s="2">
        <f t="shared" si="4"/>
        <v>1</v>
      </c>
      <c r="H90" s="2">
        <f t="shared" si="5"/>
        <v>0</v>
      </c>
    </row>
    <row r="91">
      <c r="A91" s="1">
        <v>90.0</v>
      </c>
      <c r="B91" s="2">
        <f t="shared" si="1"/>
        <v>16.50773703</v>
      </c>
      <c r="C91" s="2">
        <f t="shared" si="2"/>
        <v>0.1986385254</v>
      </c>
      <c r="D91" s="2">
        <f t="shared" si="3"/>
        <v>9.618931818</v>
      </c>
      <c r="G91" s="2">
        <f t="shared" si="4"/>
        <v>1</v>
      </c>
      <c r="H91" s="2">
        <f t="shared" si="5"/>
        <v>0</v>
      </c>
    </row>
    <row r="92">
      <c r="A92" s="1">
        <v>91.0</v>
      </c>
      <c r="B92" s="2">
        <f t="shared" si="1"/>
        <v>22.24863442</v>
      </c>
      <c r="C92" s="2">
        <f t="shared" si="2"/>
        <v>0.1572508797</v>
      </c>
      <c r="D92" s="2">
        <f t="shared" si="3"/>
        <v>12.00323224</v>
      </c>
      <c r="G92" s="2">
        <f t="shared" si="4"/>
        <v>1</v>
      </c>
      <c r="H92" s="2">
        <f t="shared" si="5"/>
        <v>-2</v>
      </c>
    </row>
    <row r="93">
      <c r="A93" s="1">
        <v>92.0</v>
      </c>
      <c r="B93" s="2">
        <f t="shared" si="1"/>
        <v>17.12832657</v>
      </c>
      <c r="C93" s="2">
        <f t="shared" si="2"/>
        <v>0.0181437872</v>
      </c>
      <c r="D93" s="2">
        <f t="shared" si="3"/>
        <v>13.42917926</v>
      </c>
      <c r="G93" s="2">
        <f t="shared" si="4"/>
        <v>0</v>
      </c>
      <c r="H93" s="2">
        <f t="shared" si="5"/>
        <v>0</v>
      </c>
    </row>
    <row r="94">
      <c r="A94" s="1">
        <v>93.0</v>
      </c>
      <c r="B94" s="2">
        <f t="shared" si="1"/>
        <v>16.98881024</v>
      </c>
      <c r="C94" s="2">
        <f t="shared" si="2"/>
        <v>0.07035371953</v>
      </c>
      <c r="D94" s="2">
        <f t="shared" si="3"/>
        <v>11.17147613</v>
      </c>
      <c r="G94" s="2">
        <f t="shared" si="4"/>
        <v>0</v>
      </c>
      <c r="H94" s="2">
        <f t="shared" si="5"/>
        <v>0</v>
      </c>
    </row>
    <row r="95">
      <c r="A95" s="1">
        <v>94.0</v>
      </c>
      <c r="B95" s="2">
        <f t="shared" si="1"/>
        <v>18.46247127</v>
      </c>
      <c r="C95" s="2">
        <f t="shared" si="2"/>
        <v>0.2755386028</v>
      </c>
      <c r="D95" s="2">
        <f t="shared" si="3"/>
        <v>15.8157309</v>
      </c>
      <c r="G95" s="2">
        <f t="shared" si="4"/>
        <v>1</v>
      </c>
      <c r="H95" s="2">
        <f t="shared" si="5"/>
        <v>-1</v>
      </c>
    </row>
    <row r="96">
      <c r="A96" s="1">
        <v>95.0</v>
      </c>
      <c r="B96" s="2">
        <f t="shared" si="1"/>
        <v>21.38053314</v>
      </c>
      <c r="C96" s="2">
        <f t="shared" si="2"/>
        <v>0.128829257</v>
      </c>
      <c r="D96" s="2">
        <f t="shared" si="3"/>
        <v>15.65851267</v>
      </c>
      <c r="G96" s="2">
        <f t="shared" si="4"/>
        <v>1</v>
      </c>
      <c r="H96" s="2">
        <f t="shared" si="5"/>
        <v>0</v>
      </c>
    </row>
    <row r="97">
      <c r="A97" s="1">
        <v>96.0</v>
      </c>
      <c r="B97" s="2">
        <f t="shared" si="1"/>
        <v>7.152984505</v>
      </c>
      <c r="C97" s="2">
        <f t="shared" si="2"/>
        <v>0.1934682161</v>
      </c>
      <c r="D97" s="2">
        <f t="shared" si="3"/>
        <v>13.60586701</v>
      </c>
      <c r="G97" s="2">
        <f t="shared" si="4"/>
        <v>1</v>
      </c>
      <c r="H97" s="2">
        <f t="shared" si="5"/>
        <v>0</v>
      </c>
    </row>
    <row r="98">
      <c r="A98" s="1">
        <v>97.0</v>
      </c>
      <c r="B98" s="2">
        <f t="shared" si="1"/>
        <v>2.851268569</v>
      </c>
      <c r="C98" s="2">
        <f t="shared" si="2"/>
        <v>0.12535028</v>
      </c>
      <c r="D98" s="2">
        <f t="shared" si="3"/>
        <v>15.14409467</v>
      </c>
      <c r="G98" s="2">
        <f t="shared" si="4"/>
        <v>1</v>
      </c>
      <c r="H98" s="2">
        <f t="shared" si="5"/>
        <v>0</v>
      </c>
    </row>
    <row r="99">
      <c r="A99" s="1">
        <v>98.0</v>
      </c>
      <c r="B99" s="2">
        <f t="shared" si="1"/>
        <v>17.11550502</v>
      </c>
      <c r="C99" s="2">
        <f t="shared" si="2"/>
        <v>0.1206498114</v>
      </c>
      <c r="D99" s="2">
        <f t="shared" si="3"/>
        <v>14.88174222</v>
      </c>
      <c r="G99" s="2">
        <f t="shared" si="4"/>
        <v>1</v>
      </c>
      <c r="H99" s="2">
        <f t="shared" si="5"/>
        <v>-2</v>
      </c>
    </row>
    <row r="100">
      <c r="A100" s="1">
        <v>99.0</v>
      </c>
      <c r="B100" s="2">
        <f t="shared" si="1"/>
        <v>23.2457315</v>
      </c>
      <c r="C100" s="2">
        <f t="shared" si="2"/>
        <v>0.0450599531</v>
      </c>
      <c r="D100" s="2">
        <f t="shared" si="3"/>
        <v>16.41172809</v>
      </c>
      <c r="G100" s="2">
        <f t="shared" si="4"/>
        <v>0</v>
      </c>
      <c r="H100" s="1">
        <v>0.0</v>
      </c>
    </row>
    <row r="101">
      <c r="A101" s="1">
        <v>100.0</v>
      </c>
      <c r="B101" s="2">
        <f t="shared" si="1"/>
        <v>10.68870627</v>
      </c>
      <c r="C101" s="2">
        <f t="shared" si="2"/>
        <v>0.1810539152</v>
      </c>
      <c r="D101" s="2">
        <f t="shared" si="3"/>
        <v>14.3549822</v>
      </c>
      <c r="G101" s="2">
        <f t="shared" si="4"/>
        <v>1</v>
      </c>
      <c r="H101" s="2">
        <f>CEILING(-LN(1 - RAND()) / LN(1 - 0.5), 1)</f>
        <v>0</v>
      </c>
    </row>
    <row r="102">
      <c r="A102" s="1" t="s">
        <v>8</v>
      </c>
      <c r="B102" s="2">
        <f t="shared" ref="B102:C102" si="6">AVERAGE(B2:B101)</f>
        <v>13.22216666</v>
      </c>
      <c r="C102" s="2">
        <f t="shared" si="6"/>
        <v>0.1658086088</v>
      </c>
    </row>
    <row r="103">
      <c r="A103" s="1"/>
    </row>
    <row r="106">
      <c r="A106" s="3" t="s">
        <v>9</v>
      </c>
    </row>
    <row r="107">
      <c r="A107" s="4"/>
    </row>
    <row r="108">
      <c r="A108" s="3" t="s">
        <v>10</v>
      </c>
    </row>
    <row r="109">
      <c r="A109" s="4"/>
    </row>
    <row r="110">
      <c r="A110" s="3" t="s">
        <v>11</v>
      </c>
    </row>
    <row r="111">
      <c r="A111" s="3" t="s">
        <v>12</v>
      </c>
    </row>
    <row r="112">
      <c r="A112" s="3" t="s">
        <v>13</v>
      </c>
    </row>
    <row r="113">
      <c r="A113" s="3" t="s">
        <v>14</v>
      </c>
    </row>
    <row r="114">
      <c r="A114" s="3" t="s">
        <v>15</v>
      </c>
    </row>
    <row r="115">
      <c r="A115" s="3" t="s">
        <v>16</v>
      </c>
    </row>
    <row r="116">
      <c r="A116" s="3" t="s">
        <v>17</v>
      </c>
    </row>
  </sheetData>
  <drawing r:id="rId1"/>
</worksheet>
</file>