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1" sheetId="1" r:id="rId4"/>
    <sheet state="visible" name="CASE 2" sheetId="2" r:id="rId5"/>
  </sheets>
  <definedNames/>
  <calcPr/>
</workbook>
</file>

<file path=xl/sharedStrings.xml><?xml version="1.0" encoding="utf-8"?>
<sst xmlns="http://schemas.openxmlformats.org/spreadsheetml/2006/main" count="30" uniqueCount="30">
  <si>
    <t>Before Treatment</t>
  </si>
  <si>
    <t>After Treatment</t>
  </si>
  <si>
    <t>Difference</t>
  </si>
  <si>
    <t>Case A: Does a New Drug Affect Blood Pressure?</t>
  </si>
  <si>
    <t>Imagine a pharmaceutical company has developed a new drug that they believe can effectively lower blood pressure in patients with hypertension. Before bringing the drug to market, they need to conduct a study to assess its impact on blood pressure.</t>
  </si>
  <si>
    <t>Data:</t>
  </si>
  <si>
    <t>Before Treatment: 120, 122, 118, 130, 125, 128, 115, 121, 123, 119</t>
  </si>
  <si>
    <t>After Treatment: 115, 120, 112, 128, 122, 125, 110, 117, 119, 114</t>
  </si>
  <si>
    <t>Mean of difference =</t>
  </si>
  <si>
    <t xml:space="preserve">Standard Deviation = </t>
  </si>
  <si>
    <t>Sample Size</t>
  </si>
  <si>
    <t xml:space="preserve">T - Test for Paired sample = </t>
  </si>
  <si>
    <t xml:space="preserve">Alfa = </t>
  </si>
  <si>
    <t xml:space="preserve">Conclusion = </t>
  </si>
  <si>
    <t>Cholesterol Level (mg/dL)</t>
  </si>
  <si>
    <t>Case B: Cholesterol level in a population</t>
  </si>
  <si>
    <t>Data: A sample of 25 individuals is taken, and their cholesterol levels are measured.</t>
  </si>
  <si>
    <t>Cholesterol Levels (mg/dL): 205, 198, 210, 190, 215, 205, 200, 192, 198, 205, 198, 202, 208, 200, 205, 198, 205, 210, 192, 205, 198, 205, 210, 192, 205.</t>
  </si>
  <si>
    <t>Populations Mean = 200</t>
  </si>
  <si>
    <t>Population Standard Deviation (σ): 5 mg/dL(given for this problem)</t>
  </si>
  <si>
    <t xml:space="preserve"> SAMPLE MEAN = </t>
  </si>
  <si>
    <t>POPULATION MEAN=</t>
  </si>
  <si>
    <t>POPULATION STD=</t>
  </si>
  <si>
    <t>SAMPLE SIZE=</t>
  </si>
  <si>
    <t>ALFA=</t>
  </si>
  <si>
    <t xml:space="preserve">CRITICAL VALUE LEFT = </t>
  </si>
  <si>
    <t xml:space="preserve"> </t>
  </si>
  <si>
    <t xml:space="preserve">CRITICAL VALUE RIGHT = </t>
  </si>
  <si>
    <t>Z TEST =</t>
  </si>
  <si>
    <t>CONCLUTION=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</si>
</sst>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rgb="FFFFFFFF"/>
      <name val="Nunito"/>
    </font>
    <font>
      <sz val="14.0"/>
      <color rgb="FFFFFFFF"/>
      <name val="Nunito"/>
    </font>
    <font>
      <b/>
      <sz val="14.0"/>
      <color rgb="FFFFFFFF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131417"/>
        <bgColor rgb="FF13141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5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2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4.5"/>
    <col customWidth="1" min="7" max="7" width="82.63"/>
  </cols>
  <sheetData>
    <row r="1">
      <c r="A1" s="1"/>
      <c r="B1" s="1"/>
      <c r="C1" s="1"/>
      <c r="G1" s="2"/>
    </row>
    <row r="2">
      <c r="A2" s="1" t="s">
        <v>0</v>
      </c>
      <c r="B2" s="1" t="s">
        <v>1</v>
      </c>
      <c r="C2" s="1" t="s">
        <v>2</v>
      </c>
      <c r="G2" s="3" t="s">
        <v>3</v>
      </c>
    </row>
    <row r="3">
      <c r="A3" s="4">
        <v>120.0</v>
      </c>
      <c r="B3" s="4">
        <v>115.0</v>
      </c>
      <c r="C3" s="5">
        <f t="shared" ref="C3:C12" si="1">minus(B3,A3)</f>
        <v>-5</v>
      </c>
      <c r="D3" s="5"/>
      <c r="E3" s="5"/>
      <c r="F3" s="5"/>
      <c r="G3" s="6" t="s">
        <v>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122.0</v>
      </c>
      <c r="B4" s="7">
        <v>120.0</v>
      </c>
      <c r="C4" s="8">
        <f t="shared" si="1"/>
        <v>-2</v>
      </c>
      <c r="G4" s="9" t="s">
        <v>5</v>
      </c>
    </row>
    <row r="5">
      <c r="A5" s="7">
        <v>118.0</v>
      </c>
      <c r="B5" s="7">
        <v>112.0</v>
      </c>
      <c r="C5" s="8">
        <f t="shared" si="1"/>
        <v>-6</v>
      </c>
      <c r="G5" s="6" t="s">
        <v>6</v>
      </c>
    </row>
    <row r="6">
      <c r="A6" s="7">
        <v>130.0</v>
      </c>
      <c r="B6" s="7">
        <v>128.0</v>
      </c>
      <c r="C6" s="8">
        <f t="shared" si="1"/>
        <v>-2</v>
      </c>
      <c r="G6" s="6" t="s">
        <v>7</v>
      </c>
    </row>
    <row r="7">
      <c r="A7" s="7">
        <v>125.0</v>
      </c>
      <c r="B7" s="7">
        <v>122.0</v>
      </c>
      <c r="C7" s="8">
        <f t="shared" si="1"/>
        <v>-3</v>
      </c>
      <c r="G7" s="2"/>
    </row>
    <row r="8">
      <c r="A8" s="7">
        <v>128.0</v>
      </c>
      <c r="B8" s="7">
        <v>125.0</v>
      </c>
      <c r="C8" s="8">
        <f t="shared" si="1"/>
        <v>-3</v>
      </c>
      <c r="G8" s="2"/>
    </row>
    <row r="9">
      <c r="A9" s="7">
        <v>115.0</v>
      </c>
      <c r="B9" s="7">
        <v>110.0</v>
      </c>
      <c r="C9" s="8">
        <f t="shared" si="1"/>
        <v>-5</v>
      </c>
      <c r="G9" s="2"/>
    </row>
    <row r="10">
      <c r="A10" s="7">
        <v>121.0</v>
      </c>
      <c r="B10" s="7">
        <v>117.0</v>
      </c>
      <c r="C10" s="8">
        <f t="shared" si="1"/>
        <v>-4</v>
      </c>
      <c r="G10" s="2"/>
    </row>
    <row r="11">
      <c r="A11" s="7">
        <v>123.0</v>
      </c>
      <c r="B11" s="7">
        <v>119.0</v>
      </c>
      <c r="C11" s="8">
        <f t="shared" si="1"/>
        <v>-4</v>
      </c>
      <c r="G11" s="2"/>
    </row>
    <row r="12">
      <c r="A12" s="7">
        <v>119.0</v>
      </c>
      <c r="B12" s="7">
        <v>114.0</v>
      </c>
      <c r="C12" s="8">
        <f t="shared" si="1"/>
        <v>-5</v>
      </c>
      <c r="G12" s="2"/>
    </row>
    <row r="13">
      <c r="A13" s="7"/>
      <c r="B13" s="7"/>
      <c r="G13" s="2"/>
    </row>
    <row r="14">
      <c r="A14" s="7"/>
      <c r="B14" s="7"/>
      <c r="G14" s="2"/>
    </row>
    <row r="15">
      <c r="B15" s="1" t="s">
        <v>8</v>
      </c>
      <c r="C15" s="10">
        <v>3.9</v>
      </c>
      <c r="D15" s="11"/>
      <c r="G15" s="2"/>
    </row>
    <row r="16">
      <c r="B16" s="1" t="s">
        <v>9</v>
      </c>
      <c r="C16" s="12">
        <f>STDEV(C3:C12)</f>
        <v>1.370320319</v>
      </c>
      <c r="D16" s="12"/>
      <c r="G16" s="2"/>
    </row>
    <row r="17">
      <c r="B17" s="1" t="s">
        <v>10</v>
      </c>
      <c r="C17" s="12">
        <f>COUNT(C3:C12)</f>
        <v>10</v>
      </c>
      <c r="D17" s="12"/>
      <c r="G17" s="2"/>
    </row>
    <row r="18">
      <c r="B18" s="1" t="s">
        <v>11</v>
      </c>
      <c r="C18" s="12">
        <f>_xlfn.T.TEST(A3:A12,B3:B12,2,1)</f>
        <v>0.000008538051223</v>
      </c>
      <c r="G18" s="2"/>
    </row>
    <row r="19">
      <c r="B19" s="1" t="s">
        <v>12</v>
      </c>
      <c r="C19" s="10">
        <v>0.05</v>
      </c>
      <c r="D19" s="12"/>
      <c r="G19" s="2"/>
    </row>
    <row r="20">
      <c r="B20" s="1" t="s">
        <v>13</v>
      </c>
      <c r="C20" s="12" t="str">
        <f>if(C18&lt;=C19," Reject the Null Hypothesis","Fail to Reject the Null Hypothesis")</f>
        <v> Reject the Null Hypothesis</v>
      </c>
      <c r="D20" s="12"/>
      <c r="G20" s="2"/>
    </row>
    <row r="21">
      <c r="G21" s="2"/>
    </row>
    <row r="22">
      <c r="G22" s="2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  <row r="1001">
      <c r="G1001" s="2"/>
    </row>
    <row r="1002">
      <c r="G1002" s="2"/>
    </row>
    <row r="1003">
      <c r="G1003" s="2"/>
    </row>
    <row r="1004">
      <c r="G1004" s="2"/>
    </row>
  </sheetData>
  <mergeCells count="1">
    <mergeCell ref="C18:D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4" max="4" width="12.38"/>
    <col customWidth="1" min="6" max="6" width="63.75"/>
  </cols>
  <sheetData>
    <row r="1">
      <c r="A1" s="1" t="s">
        <v>14</v>
      </c>
      <c r="F1" s="3" t="s">
        <v>15</v>
      </c>
    </row>
    <row r="2">
      <c r="A2" s="7">
        <v>205.0</v>
      </c>
      <c r="F2" s="9" t="s">
        <v>16</v>
      </c>
    </row>
    <row r="3">
      <c r="A3" s="7">
        <v>198.0</v>
      </c>
      <c r="F3" s="13" t="s">
        <v>17</v>
      </c>
    </row>
    <row r="4">
      <c r="A4" s="7">
        <v>210.0</v>
      </c>
      <c r="F4" s="6" t="s">
        <v>18</v>
      </c>
    </row>
    <row r="5">
      <c r="A5" s="7">
        <v>190.0</v>
      </c>
      <c r="F5" s="6" t="s">
        <v>19</v>
      </c>
    </row>
    <row r="6">
      <c r="A6" s="7">
        <v>215.0</v>
      </c>
    </row>
    <row r="7">
      <c r="A7" s="7">
        <v>205.0</v>
      </c>
    </row>
    <row r="8">
      <c r="A8" s="7">
        <v>200.0</v>
      </c>
    </row>
    <row r="9">
      <c r="A9" s="7">
        <v>192.0</v>
      </c>
    </row>
    <row r="10">
      <c r="A10" s="7">
        <v>198.0</v>
      </c>
    </row>
    <row r="11">
      <c r="A11" s="7">
        <v>205.0</v>
      </c>
    </row>
    <row r="12">
      <c r="A12" s="7">
        <v>198.0</v>
      </c>
    </row>
    <row r="13">
      <c r="A13" s="7">
        <v>202.0</v>
      </c>
    </row>
    <row r="14">
      <c r="A14" s="7">
        <v>208.0</v>
      </c>
    </row>
    <row r="15">
      <c r="A15" s="7">
        <v>200.0</v>
      </c>
    </row>
    <row r="16">
      <c r="A16" s="7">
        <v>205.0</v>
      </c>
    </row>
    <row r="17">
      <c r="A17" s="7">
        <v>198.0</v>
      </c>
    </row>
    <row r="18">
      <c r="A18" s="7">
        <v>205.0</v>
      </c>
    </row>
    <row r="19">
      <c r="A19" s="7">
        <v>210.0</v>
      </c>
    </row>
    <row r="20">
      <c r="A20" s="7">
        <v>192.0</v>
      </c>
    </row>
    <row r="21">
      <c r="A21" s="7">
        <v>205.0</v>
      </c>
    </row>
    <row r="22">
      <c r="A22" s="7">
        <v>198.0</v>
      </c>
    </row>
    <row r="23">
      <c r="A23" s="7">
        <v>205.0</v>
      </c>
    </row>
    <row r="24">
      <c r="A24" s="7">
        <v>210.0</v>
      </c>
    </row>
    <row r="25">
      <c r="A25" s="7">
        <v>192.0</v>
      </c>
    </row>
    <row r="26">
      <c r="A26" s="7">
        <v>205.0</v>
      </c>
    </row>
    <row r="27">
      <c r="A27" s="14" t="s">
        <v>20</v>
      </c>
      <c r="B27" s="15">
        <f>AVERAGE(A2:A26)</f>
        <v>202.04</v>
      </c>
    </row>
    <row r="28">
      <c r="A28" s="14" t="s">
        <v>21</v>
      </c>
      <c r="B28" s="14">
        <v>200.0</v>
      </c>
    </row>
    <row r="29">
      <c r="A29" s="14" t="s">
        <v>22</v>
      </c>
      <c r="B29" s="14">
        <v>5.0</v>
      </c>
    </row>
    <row r="30">
      <c r="A30" s="14" t="s">
        <v>23</v>
      </c>
      <c r="B30" s="15">
        <f>COUNT(A2:A26)</f>
        <v>25</v>
      </c>
    </row>
    <row r="31">
      <c r="A31" s="14" t="s">
        <v>24</v>
      </c>
      <c r="B31" s="14">
        <v>0.05</v>
      </c>
    </row>
    <row r="32">
      <c r="A32" s="14" t="s">
        <v>25</v>
      </c>
      <c r="B32" s="15">
        <f>_xlfn.NORM.S.INV(B31)</f>
        <v>-1.644853625</v>
      </c>
      <c r="C32" s="7" t="s">
        <v>26</v>
      </c>
    </row>
    <row r="33">
      <c r="A33" s="14" t="s">
        <v>27</v>
      </c>
      <c r="B33" s="15">
        <f>_xlfn.NORM.S.INV(1-B31)</f>
        <v>1.644853625</v>
      </c>
      <c r="C33" s="7"/>
      <c r="D33" s="7"/>
    </row>
    <row r="34">
      <c r="A34" s="14" t="s">
        <v>28</v>
      </c>
      <c r="B34" s="15">
        <f> (202.04 - 200) / (5 / SQRT(25))
</f>
        <v>2.04</v>
      </c>
    </row>
    <row r="35">
      <c r="A35" s="14" t="s">
        <v>29</v>
      </c>
      <c r="B35" s="15" t="str">
        <f>IF(B34&gt;B33,"REJECT THE NULL HYPOTHESIS","FAIL TO REJECT THE NULL HYPOTHESIS")</f>
        <v>REJECT THE NULL HYPOTHESIS</v>
      </c>
    </row>
  </sheetData>
  <drawing r:id="rId1"/>
</worksheet>
</file>